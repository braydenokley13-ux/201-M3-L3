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Activity" sheetId="2" r:id="rId6"/>
    <sheet state="visible" name="Claim_Codes" sheetId="3" r:id="rId7"/>
    <sheet state="hidden" name="Engine" sheetId="4" r:id="rId8"/>
  </sheets>
  <definedNames/>
  <calcPr/>
</workbook>
</file>

<file path=xl/sharedStrings.xml><?xml version="1.0" encoding="utf-8"?>
<sst xmlns="http://schemas.openxmlformats.org/spreadsheetml/2006/main" count="57" uniqueCount="45">
  <si>
    <t>Front Office Draft — Instructions
Welcome to the Front Office Draft.
Your job is simple:
Choose the hires &amp; tools you want to build your analytics and performance department.
Stay under the $10M budget.
Your selections will be evaluated automatically in the background.
If your build meets the performance standard, a claim code will appear.
Copy the claim code and submit it in the BOW Finish Form to earn XP.
Good luck. Build smart.</t>
  </si>
  <si>
    <t>START NOW</t>
  </si>
  <si>
    <t>Front Office Draft — 201 · M3 · Lesson 3</t>
  </si>
  <si>
    <t>Pick?</t>
  </si>
  <si>
    <t>Asset</t>
  </si>
  <si>
    <t>Cost ($M)</t>
  </si>
  <si>
    <t>What it helps with</t>
  </si>
  <si>
    <t>Elite Data Scientist</t>
  </si>
  <si>
    <t>Better models &amp; decision support</t>
  </si>
  <si>
    <t>Sports Scientist</t>
  </si>
  <si>
    <t>Player health &amp; injury reduction</t>
  </si>
  <si>
    <t>Veteran Scout</t>
  </si>
  <si>
    <t>Player trust &amp; qualitative insight</t>
  </si>
  <si>
    <t>Hybrid Quant Scout</t>
  </si>
  <si>
    <t>Blend of analytics &amp; scouting</t>
  </si>
  <si>
    <t>Machine Learning Engineer</t>
  </si>
  <si>
    <t>Predictive models &amp; automation</t>
  </si>
  <si>
    <t>Tech Stack Upgrade</t>
  </si>
  <si>
    <t>Cleaner, faster data infrastructure</t>
  </si>
  <si>
    <t>Real-Time Data Pipeline</t>
  </si>
  <si>
    <t>In-game strategy support</t>
  </si>
  <si>
    <t>Wearable Tracking System</t>
  </si>
  <si>
    <t>Workload &amp; recovery monitoring</t>
  </si>
  <si>
    <t>Culture/Communication Lead</t>
  </si>
  <si>
    <t>Department alignment &amp; buy-in</t>
  </si>
  <si>
    <t>Player Development Analyst</t>
  </si>
  <si>
    <t>Faster improvement for young players</t>
  </si>
  <si>
    <t>Total Cost</t>
  </si>
  <si>
    <t>Budget: $10.0M</t>
  </si>
  <si>
    <t>Claim Code</t>
  </si>
  <si>
    <t>BOW-201-M3-EDGE-01</t>
  </si>
  <si>
    <t>Selected?</t>
  </si>
  <si>
    <t>Cost</t>
  </si>
  <si>
    <t>AWA</t>
  </si>
  <si>
    <t>Culture Multiplier</t>
  </si>
  <si>
    <t>Risk Penalty</t>
  </si>
  <si>
    <t>Scalability Bonus</t>
  </si>
  <si>
    <t>AWA Used</t>
  </si>
  <si>
    <t>Total AWA</t>
  </si>
  <si>
    <t>Count Selected</t>
  </si>
  <si>
    <t>Culture Multiplier (avg)</t>
  </si>
  <si>
    <t>Total Risk Penalty</t>
  </si>
  <si>
    <t>Total Scalability Bonus</t>
  </si>
  <si>
    <t>Final Score</t>
  </si>
  <si>
    <t>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</si>
</sst>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u/>
      <sz val="14.0"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1"/>
    </row>
    <row r="4">
      <c r="A4" s="3"/>
    </row>
    <row r="5">
      <c r="A5" s="1"/>
    </row>
    <row r="6">
      <c r="A6" s="3"/>
    </row>
    <row r="7">
      <c r="A7" s="1"/>
    </row>
    <row r="8">
      <c r="A8" s="3"/>
    </row>
    <row r="9">
      <c r="A9" s="1"/>
    </row>
    <row r="10">
      <c r="A10" s="3"/>
    </row>
    <row r="11">
      <c r="A11" s="1"/>
    </row>
    <row r="12">
      <c r="A12" s="3"/>
    </row>
    <row r="13">
      <c r="A13" s="1"/>
    </row>
    <row r="14">
      <c r="A14" s="3"/>
    </row>
    <row r="15">
      <c r="A15" s="1"/>
    </row>
    <row r="16">
      <c r="A16" s="3"/>
    </row>
    <row r="17">
      <c r="A17" s="1"/>
    </row>
    <row r="18">
      <c r="A18" s="1"/>
    </row>
    <row r="19">
      <c r="A19" s="3"/>
    </row>
    <row r="20">
      <c r="A20" s="1"/>
    </row>
  </sheetData>
  <hyperlinks>
    <hyperlink display="START NOW" location="Activity!A1" ref="A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1">
      <c r="A1" s="4" t="s">
        <v>2</v>
      </c>
    </row>
    <row r="3">
      <c r="A3" s="4" t="s">
        <v>3</v>
      </c>
      <c r="B3" s="4" t="s">
        <v>4</v>
      </c>
      <c r="C3" s="4" t="s">
        <v>5</v>
      </c>
      <c r="D3" s="4" t="s">
        <v>6</v>
      </c>
    </row>
    <row r="4">
      <c r="A4" s="4" t="b">
        <v>0</v>
      </c>
      <c r="B4" s="4" t="s">
        <v>7</v>
      </c>
      <c r="C4" s="4">
        <v>3.0</v>
      </c>
      <c r="D4" s="4" t="s">
        <v>8</v>
      </c>
    </row>
    <row r="5">
      <c r="A5" s="4" t="b">
        <v>0</v>
      </c>
      <c r="B5" s="4" t="s">
        <v>9</v>
      </c>
      <c r="C5" s="4">
        <v>2.5</v>
      </c>
      <c r="D5" s="4" t="s">
        <v>10</v>
      </c>
    </row>
    <row r="6">
      <c r="A6" s="4" t="b">
        <v>0</v>
      </c>
      <c r="B6" s="4" t="s">
        <v>11</v>
      </c>
      <c r="C6" s="4">
        <v>1.2</v>
      </c>
      <c r="D6" s="4" t="s">
        <v>12</v>
      </c>
    </row>
    <row r="7">
      <c r="A7" s="4" t="b">
        <v>0</v>
      </c>
      <c r="B7" s="4" t="s">
        <v>13</v>
      </c>
      <c r="C7" s="4">
        <v>1.5</v>
      </c>
      <c r="D7" s="4" t="s">
        <v>14</v>
      </c>
    </row>
    <row r="8">
      <c r="A8" s="4" t="b">
        <v>0</v>
      </c>
      <c r="B8" s="4" t="s">
        <v>15</v>
      </c>
      <c r="C8" s="4">
        <v>2.0</v>
      </c>
      <c r="D8" s="4" t="s">
        <v>16</v>
      </c>
    </row>
    <row r="9">
      <c r="A9" s="4" t="b">
        <v>0</v>
      </c>
      <c r="B9" s="4" t="s">
        <v>17</v>
      </c>
      <c r="C9" s="4">
        <v>2.3</v>
      </c>
      <c r="D9" s="4" t="s">
        <v>18</v>
      </c>
    </row>
    <row r="10">
      <c r="A10" s="4" t="b">
        <v>0</v>
      </c>
      <c r="B10" s="4" t="s">
        <v>19</v>
      </c>
      <c r="C10" s="4">
        <v>1.8</v>
      </c>
      <c r="D10" s="4" t="s">
        <v>20</v>
      </c>
    </row>
    <row r="11">
      <c r="A11" s="4" t="b">
        <v>0</v>
      </c>
      <c r="B11" s="4" t="s">
        <v>21</v>
      </c>
      <c r="C11" s="4">
        <v>2.0</v>
      </c>
      <c r="D11" s="4" t="s">
        <v>22</v>
      </c>
    </row>
    <row r="12">
      <c r="A12" s="4" t="b">
        <v>0</v>
      </c>
      <c r="B12" s="4" t="s">
        <v>23</v>
      </c>
      <c r="C12" s="4">
        <v>0.9</v>
      </c>
      <c r="D12" s="4" t="s">
        <v>24</v>
      </c>
    </row>
    <row r="13">
      <c r="A13" s="4" t="b">
        <v>0</v>
      </c>
      <c r="B13" s="4" t="s">
        <v>25</v>
      </c>
      <c r="C13" s="4">
        <v>1.7</v>
      </c>
      <c r="D13" s="4" t="s">
        <v>26</v>
      </c>
    </row>
    <row r="15">
      <c r="B15" s="4" t="s">
        <v>27</v>
      </c>
      <c r="C15" s="5">
        <f>SUMPRODUCT($A$4:$A$13 * $C$4:$C$13)</f>
        <v>0</v>
      </c>
      <c r="E15" s="4" t="s">
        <v>28</v>
      </c>
    </row>
    <row r="16">
      <c r="B16" s="4" t="s">
        <v>29</v>
      </c>
      <c r="C16" s="5" t="str">
        <f>IF(Engine!B23="PASS", Claim_Codes!B5, "")
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4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</row>
    <row r="4">
      <c r="A4" s="4" t="s">
        <v>7</v>
      </c>
      <c r="B4" s="5" t="b">
        <f>Activity!A4</f>
        <v>0</v>
      </c>
      <c r="C4" s="5">
        <f>Activity!C4</f>
        <v>3</v>
      </c>
      <c r="D4" s="4">
        <v>1.8</v>
      </c>
      <c r="E4" s="4">
        <v>1.15</v>
      </c>
      <c r="F4" s="4">
        <v>0.0</v>
      </c>
      <c r="G4" s="4">
        <v>0.1</v>
      </c>
      <c r="H4" s="5">
        <f t="shared" ref="H4:H13" si="1">IF($B4, $D4, 0)</f>
        <v>0</v>
      </c>
    </row>
    <row r="5">
      <c r="A5" s="4" t="s">
        <v>9</v>
      </c>
      <c r="B5" s="5" t="b">
        <f>Activity!A5</f>
        <v>0</v>
      </c>
      <c r="C5" s="5">
        <f>Activity!C5</f>
        <v>2.5</v>
      </c>
      <c r="D5" s="4">
        <v>1.2</v>
      </c>
      <c r="E5" s="4">
        <v>1.15</v>
      </c>
      <c r="F5" s="4">
        <v>0.0</v>
      </c>
      <c r="G5" s="4">
        <v>0.2</v>
      </c>
      <c r="H5" s="5">
        <f t="shared" si="1"/>
        <v>0</v>
      </c>
    </row>
    <row r="6">
      <c r="A6" s="4" t="s">
        <v>11</v>
      </c>
      <c r="B6" s="5" t="b">
        <f>Activity!A6</f>
        <v>0</v>
      </c>
      <c r="C6" s="5">
        <f>Activity!C6</f>
        <v>1.2</v>
      </c>
      <c r="D6" s="4">
        <v>0.2</v>
      </c>
      <c r="E6" s="4">
        <v>1.25</v>
      </c>
      <c r="F6" s="4">
        <v>-0.15</v>
      </c>
      <c r="G6" s="4">
        <v>0.1</v>
      </c>
      <c r="H6" s="5">
        <f t="shared" si="1"/>
        <v>0</v>
      </c>
    </row>
    <row r="7">
      <c r="A7" s="4" t="s">
        <v>13</v>
      </c>
      <c r="B7" s="5" t="b">
        <f>Activity!A7</f>
        <v>0</v>
      </c>
      <c r="C7" s="5">
        <f>Activity!C7</f>
        <v>1.5</v>
      </c>
      <c r="D7" s="4">
        <v>0.9</v>
      </c>
      <c r="E7" s="4">
        <v>1.05</v>
      </c>
      <c r="F7" s="4">
        <v>-0.15</v>
      </c>
      <c r="G7" s="4">
        <v>0.2</v>
      </c>
      <c r="H7" s="5">
        <f t="shared" si="1"/>
        <v>0</v>
      </c>
    </row>
    <row r="8">
      <c r="A8" s="4" t="s">
        <v>15</v>
      </c>
      <c r="B8" s="5" t="b">
        <f>Activity!A8</f>
        <v>0</v>
      </c>
      <c r="C8" s="5">
        <f>Activity!C8</f>
        <v>2</v>
      </c>
      <c r="D8" s="4">
        <v>1.4</v>
      </c>
      <c r="E8" s="4">
        <v>1.0</v>
      </c>
      <c r="F8" s="4">
        <v>-0.15</v>
      </c>
      <c r="G8" s="4">
        <v>0.2</v>
      </c>
      <c r="H8" s="5">
        <f t="shared" si="1"/>
        <v>0</v>
      </c>
    </row>
    <row r="9">
      <c r="A9" s="4" t="s">
        <v>17</v>
      </c>
      <c r="B9" s="5" t="b">
        <f>Activity!A9</f>
        <v>0</v>
      </c>
      <c r="C9" s="5">
        <f>Activity!C9</f>
        <v>2.3</v>
      </c>
      <c r="D9" s="4">
        <v>1.0</v>
      </c>
      <c r="E9" s="4">
        <v>1.05</v>
      </c>
      <c r="F9" s="4">
        <v>0.0</v>
      </c>
      <c r="G9" s="4">
        <v>0.2</v>
      </c>
      <c r="H9" s="5">
        <f t="shared" si="1"/>
        <v>0</v>
      </c>
    </row>
    <row r="10">
      <c r="A10" s="4" t="s">
        <v>19</v>
      </c>
      <c r="B10" s="5" t="b">
        <f>Activity!A10</f>
        <v>0</v>
      </c>
      <c r="C10" s="5">
        <f>Activity!C10</f>
        <v>1.8</v>
      </c>
      <c r="D10" s="4">
        <v>0.7</v>
      </c>
      <c r="E10" s="4">
        <v>1.05</v>
      </c>
      <c r="F10" s="4">
        <v>-0.15</v>
      </c>
      <c r="G10" s="4">
        <v>0.1</v>
      </c>
      <c r="H10" s="5">
        <f t="shared" si="1"/>
        <v>0</v>
      </c>
    </row>
    <row r="11">
      <c r="A11" s="4" t="s">
        <v>21</v>
      </c>
      <c r="B11" s="5" t="b">
        <f>Activity!A11</f>
        <v>0</v>
      </c>
      <c r="C11" s="5">
        <f>Activity!C11</f>
        <v>2</v>
      </c>
      <c r="D11" s="4">
        <v>0.6</v>
      </c>
      <c r="E11" s="4">
        <v>1.15</v>
      </c>
      <c r="F11" s="4">
        <v>-0.15</v>
      </c>
      <c r="G11" s="4">
        <v>0.1</v>
      </c>
      <c r="H11" s="5">
        <f t="shared" si="1"/>
        <v>0</v>
      </c>
    </row>
    <row r="12">
      <c r="A12" s="4" t="s">
        <v>23</v>
      </c>
      <c r="B12" s="5" t="b">
        <f>Activity!A12</f>
        <v>0</v>
      </c>
      <c r="C12" s="5">
        <f>Activity!C12</f>
        <v>0.9</v>
      </c>
      <c r="D12" s="4">
        <v>0.3</v>
      </c>
      <c r="E12" s="4">
        <v>1.25</v>
      </c>
      <c r="F12" s="4">
        <v>0.0</v>
      </c>
      <c r="G12" s="4">
        <v>0.2</v>
      </c>
      <c r="H12" s="5">
        <f t="shared" si="1"/>
        <v>0</v>
      </c>
    </row>
    <row r="13">
      <c r="A13" s="4" t="s">
        <v>25</v>
      </c>
      <c r="B13" s="5" t="b">
        <f>Activity!A13</f>
        <v>0</v>
      </c>
      <c r="C13" s="5">
        <f>Activity!C13</f>
        <v>1.7</v>
      </c>
      <c r="D13" s="4">
        <v>1.0</v>
      </c>
      <c r="E13" s="4">
        <v>1.15</v>
      </c>
      <c r="F13" s="4">
        <v>-0.15</v>
      </c>
      <c r="G13" s="4">
        <v>0.1</v>
      </c>
      <c r="H13" s="5">
        <f t="shared" si="1"/>
        <v>0</v>
      </c>
    </row>
    <row r="16">
      <c r="A16" s="4" t="s">
        <v>38</v>
      </c>
      <c r="B16" s="5">
        <f>SUM($H$4:$H$13)</f>
        <v>0</v>
      </c>
    </row>
    <row r="17">
      <c r="A17" s="4" t="s">
        <v>39</v>
      </c>
      <c r="B17" s="5">
        <f>COUNTIF($B$4:$B$13, TRUE)</f>
        <v>0</v>
      </c>
    </row>
    <row r="18">
      <c r="A18" s="4" t="s">
        <v>40</v>
      </c>
      <c r="B18" s="5">
        <f>IF($B$17=0, 0, SUMPRODUCT(($B$4:$B$13=TRUE)*$E$4:$E$13)/$B$17)</f>
        <v>0</v>
      </c>
    </row>
    <row r="19">
      <c r="A19" s="4" t="s">
        <v>41</v>
      </c>
      <c r="B19" s="5">
        <f>SUMPRODUCT(($B$4:$B$13=TRUE)*$F$4:$F$13)</f>
        <v>0</v>
      </c>
    </row>
    <row r="20">
      <c r="A20" s="4" t="s">
        <v>42</v>
      </c>
      <c r="B20" s="5">
        <f>SUMPRODUCT(($B$4:$B$13=TRUE)*$G$4:$G$13)</f>
        <v>0</v>
      </c>
    </row>
    <row r="21">
      <c r="A21" s="4" t="s">
        <v>27</v>
      </c>
      <c r="B21" s="5">
        <f>Activity!C15</f>
        <v>0</v>
      </c>
    </row>
    <row r="22">
      <c r="A22" s="4" t="s">
        <v>43</v>
      </c>
      <c r="B22" s="5">
        <f>($B$16 * $B$18) + $B$20 + $B$19
</f>
        <v>0</v>
      </c>
    </row>
    <row r="23">
      <c r="A23" s="4" t="s">
        <v>44</v>
      </c>
      <c r="B23" s="5" t="str">
        <f>IF(AND($B$21&lt;=10, $B$22&gt;=6), "PASS", "TRY AGAIN")</f>
        <v>TRY AGAIN</v>
      </c>
    </row>
  </sheetData>
  <drawing r:id="rId1"/>
</worksheet>
</file>